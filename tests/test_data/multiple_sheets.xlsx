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55F5F3AA-19D4-4CAE-A8F0-F9C136F8CC9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ater Level Readings" sheetId="1" r:id="rId1"/>
    <sheet name="Events" sheetId="3" r:id="rId2"/>
    <sheet name="Event flags" sheetId="4" r:id="rId3"/>
  </sheets>
  <definedNames>
    <definedName name="_xlnm._FilterDatabase" localSheetId="0" hidden="1">'Water Level Readings'!$A$1:$J$37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C40" i="1"/>
  <c r="I39" i="1"/>
  <c r="C39" i="1"/>
  <c r="I38" i="1"/>
  <c r="C38" i="1"/>
  <c r="I37" i="1"/>
  <c r="C37" i="1"/>
  <c r="I36" i="1"/>
  <c r="C36" i="1"/>
  <c r="I35" i="1"/>
  <c r="C35" i="1"/>
  <c r="I34" i="1"/>
  <c r="C34" i="1"/>
  <c r="I33" i="1"/>
  <c r="C33" i="1"/>
  <c r="I31" i="1"/>
  <c r="C31" i="1"/>
  <c r="I30" i="1"/>
  <c r="C30" i="1"/>
  <c r="I29" i="1"/>
  <c r="C29" i="1"/>
  <c r="I28" i="1"/>
  <c r="C28" i="1"/>
  <c r="I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I19" i="1"/>
  <c r="C19" i="1"/>
  <c r="I18" i="1"/>
  <c r="C18" i="1"/>
  <c r="I17" i="1"/>
  <c r="C17" i="1"/>
  <c r="I16" i="1"/>
  <c r="C16" i="1"/>
  <c r="I15" i="1"/>
  <c r="C15" i="1"/>
  <c r="C37" i="3"/>
  <c r="C36" i="3"/>
  <c r="C35" i="3"/>
  <c r="C34" i="3"/>
  <c r="C33" i="3"/>
  <c r="C32" i="3"/>
  <c r="C31" i="3"/>
  <c r="C30" i="3"/>
  <c r="C28" i="3"/>
  <c r="C27" i="3"/>
  <c r="C26" i="3"/>
  <c r="C25" i="3"/>
  <c r="C24" i="3"/>
  <c r="C23" i="3"/>
  <c r="C22" i="3"/>
  <c r="C21" i="3"/>
  <c r="C20" i="3"/>
  <c r="C19" i="3"/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4" i="1" l="1"/>
  <c r="I2" i="1" l="1"/>
  <c r="I13" i="1" l="1"/>
  <c r="I14" i="1"/>
  <c r="C13" i="1"/>
  <c r="I12" i="1" l="1"/>
  <c r="C12" i="1"/>
  <c r="I11" i="1"/>
  <c r="C11" i="1"/>
  <c r="I9" i="1" l="1"/>
  <c r="C9" i="1"/>
  <c r="I10" i="1"/>
  <c r="C10" i="1"/>
  <c r="C5" i="1" l="1"/>
  <c r="C6" i="1"/>
  <c r="C7" i="1"/>
  <c r="C8" i="1"/>
  <c r="C3" i="1"/>
  <c r="C2" i="1"/>
  <c r="I3" i="1" l="1"/>
  <c r="I7" i="1" l="1"/>
  <c r="I8" i="1"/>
  <c r="I6" i="1" l="1"/>
  <c r="I5" i="1" l="1"/>
  <c r="I4" i="1" l="1"/>
  <c r="C4" i="1"/>
</calcChain>
</file>

<file path=xl/sharedStrings.xml><?xml version="1.0" encoding="utf-8"?>
<sst xmlns="http://schemas.openxmlformats.org/spreadsheetml/2006/main" count="282" uniqueCount="43">
  <si>
    <t>Date</t>
  </si>
  <si>
    <t>Time</t>
  </si>
  <si>
    <t>datetime</t>
  </si>
  <si>
    <t>Loc</t>
  </si>
  <si>
    <t>WL (mbdat)</t>
  </si>
  <si>
    <t>datum</t>
  </si>
  <si>
    <t>datum ele (mAOD)</t>
  </si>
  <si>
    <t>casing</t>
  </si>
  <si>
    <t>WL (mAOD)</t>
  </si>
  <si>
    <t>Event Comments</t>
  </si>
  <si>
    <t>Chamber flooded, extra sensor installed</t>
  </si>
  <si>
    <t>VWP Logger flooded, removed for data recovery</t>
  </si>
  <si>
    <t>Loggers pulled, restarted/recalibrated, 1x LTC installed at 128 mbgl, checked logging was working correctly and reinstated</t>
  </si>
  <si>
    <t xml:space="preserve">VWP Data logger wired up and installed. Calibration factors added, reporting in mH2O with linear conversion. </t>
  </si>
  <si>
    <t>Logger installed</t>
  </si>
  <si>
    <t>Logger removed</t>
  </si>
  <si>
    <t>Water level taken</t>
  </si>
  <si>
    <t>Maintenance</t>
  </si>
  <si>
    <t>Error</t>
  </si>
  <si>
    <t>Y</t>
  </si>
  <si>
    <t>N</t>
  </si>
  <si>
    <t>Calibration</t>
  </si>
  <si>
    <t>BST/GMT</t>
  </si>
  <si>
    <t>BST</t>
  </si>
  <si>
    <t>GMT</t>
  </si>
  <si>
    <t>Bede-BT</t>
  </si>
  <si>
    <t>Bede-HM</t>
  </si>
  <si>
    <t>VWP data downloaded - clock had stopped. VWP reset and started logging again. LTC logger showing no connection. Removed and new logger installed (calibrated 28/02/2024)</t>
  </si>
  <si>
    <t>Water level taken for Bede-HM, and data downloaded from LTC</t>
  </si>
  <si>
    <t>Logger restarted on GMT clock (changed from BST), and set to 15 min intervals, future start of 09:45 (10:45 BST)</t>
  </si>
  <si>
    <t>No logger connection or download possible, did not pull, will return with replacement</t>
  </si>
  <si>
    <t>Logger had stopped after only 5 readings. New logger installed reading every 15 mins and set to GMT</t>
  </si>
  <si>
    <t>Logger not working so removed and replaced. New logger set to record every 15 mins on GMT</t>
  </si>
  <si>
    <t>Solinst logger not connecting and pulled to surface @11:05 GMT to connect to logger directly.</t>
  </si>
  <si>
    <t>Solinst logger not connecting and pulled to surface @12:30 GMT to connect to logger directly.</t>
  </si>
  <si>
    <t xml:space="preserve">In-situ logger stopped and recalibrated with water level </t>
  </si>
  <si>
    <t xml:space="preserve">Loggers downloaded and pulled for geophysical surveys </t>
  </si>
  <si>
    <t xml:space="preserve">Loggers downloaded and pulled for sampling. Then reinstated </t>
  </si>
  <si>
    <t xml:space="preserve">Loggers checked to remain as GMT as switch to BST </t>
  </si>
  <si>
    <t xml:space="preserve">Logger pulled for sampling </t>
  </si>
  <si>
    <t xml:space="preserve">Logger reinstated </t>
  </si>
  <si>
    <t xml:space="preserve">Loggers reinstated </t>
  </si>
  <si>
    <t xml:space="preserve">Loggers downloaded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</si>
</sst>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 indent="5"/>
    </xf>
    <xf numFmtId="0" fontId="0" fillId="2" borderId="0" xfId="0" applyFill="1"/>
    <xf numFmtId="22" fontId="0" fillId="0" borderId="0" xfId="0" applyNumberFormat="1" applyFont="1"/>
  </cellXfs>
  <cellStyles count="1">
    <cellStyle name="Normal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P18" sqref="P18"/>
    </sheetView>
  </sheetViews>
  <sheetFormatPr defaultRowHeight="15" x14ac:dyDescent="0.25"/>
  <cols>
    <col min="1" max="1" width="10.7109375" bestFit="1" customWidth="1"/>
    <col min="3" max="4" width="23.42578125" customWidth="1"/>
    <col min="6" max="6" width="11.28515625" bestFit="1" customWidth="1"/>
    <col min="8" max="8" width="21.28515625" customWidth="1"/>
    <col min="9" max="9" width="13.5703125" bestFit="1" customWidth="1"/>
    <col min="10" max="10" width="1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5">
      <c r="A2" s="1">
        <v>45110</v>
      </c>
      <c r="B2" s="2">
        <v>0.625</v>
      </c>
      <c r="C2" s="3">
        <f t="shared" ref="C2:C21" si="0">A2+B2</f>
        <v>45110.625</v>
      </c>
      <c r="D2" s="3" t="s">
        <v>23</v>
      </c>
      <c r="E2" t="s">
        <v>25</v>
      </c>
      <c r="F2">
        <v>27.88</v>
      </c>
      <c r="G2" t="s">
        <v>7</v>
      </c>
      <c r="H2">
        <v>32.96</v>
      </c>
      <c r="I2">
        <f>H2-F2</f>
        <v>5.0800000000000018</v>
      </c>
    </row>
    <row r="3" spans="1:9" x14ac:dyDescent="0.25">
      <c r="A3" s="1">
        <v>45110</v>
      </c>
      <c r="B3" s="2">
        <v>0.625</v>
      </c>
      <c r="C3" s="3">
        <f t="shared" si="0"/>
        <v>45110.625</v>
      </c>
      <c r="D3" s="3" t="s">
        <v>23</v>
      </c>
      <c r="E3" t="s">
        <v>26</v>
      </c>
      <c r="F3">
        <v>27.61</v>
      </c>
      <c r="G3" t="s">
        <v>7</v>
      </c>
      <c r="H3">
        <v>32.924999999999997</v>
      </c>
      <c r="I3">
        <f t="shared" ref="I3:I18" si="1">H3-F3</f>
        <v>5.3149999999999977</v>
      </c>
    </row>
    <row r="4" spans="1:9" x14ac:dyDescent="0.25">
      <c r="A4" s="1">
        <v>45145</v>
      </c>
      <c r="B4" s="2">
        <v>0.60902777777777783</v>
      </c>
      <c r="C4" s="3">
        <f t="shared" si="0"/>
        <v>45145.609027777777</v>
      </c>
      <c r="D4" s="3" t="s">
        <v>23</v>
      </c>
      <c r="E4" t="s">
        <v>26</v>
      </c>
      <c r="F4">
        <v>27.175000000000001</v>
      </c>
      <c r="G4" t="s">
        <v>7</v>
      </c>
      <c r="H4">
        <v>32.924999999999997</v>
      </c>
      <c r="I4">
        <f t="shared" si="1"/>
        <v>5.7499999999999964</v>
      </c>
    </row>
    <row r="5" spans="1:9" x14ac:dyDescent="0.25">
      <c r="A5" s="1">
        <v>45145</v>
      </c>
      <c r="B5" s="2">
        <v>0.61111111111111105</v>
      </c>
      <c r="C5" s="3">
        <f t="shared" si="0"/>
        <v>45145.611111111109</v>
      </c>
      <c r="D5" s="3" t="s">
        <v>23</v>
      </c>
      <c r="E5" t="s">
        <v>25</v>
      </c>
      <c r="F5">
        <v>27.57</v>
      </c>
      <c r="G5" t="s">
        <v>7</v>
      </c>
      <c r="H5">
        <v>32.96</v>
      </c>
      <c r="I5">
        <f t="shared" si="1"/>
        <v>5.3900000000000006</v>
      </c>
    </row>
    <row r="6" spans="1:9" x14ac:dyDescent="0.25">
      <c r="A6" s="1">
        <v>45161</v>
      </c>
      <c r="B6" s="2">
        <v>0.47222222222222227</v>
      </c>
      <c r="C6" s="3">
        <f t="shared" si="0"/>
        <v>45161.472222222219</v>
      </c>
      <c r="D6" s="3" t="s">
        <v>23</v>
      </c>
      <c r="E6" t="s">
        <v>25</v>
      </c>
      <c r="F6">
        <v>27.36</v>
      </c>
      <c r="G6" t="s">
        <v>7</v>
      </c>
      <c r="H6">
        <v>32.96</v>
      </c>
      <c r="I6">
        <f t="shared" si="1"/>
        <v>5.6000000000000014</v>
      </c>
    </row>
    <row r="7" spans="1:9" x14ac:dyDescent="0.25">
      <c r="A7" s="1">
        <v>45236</v>
      </c>
      <c r="B7" s="2">
        <v>0.47222222222222227</v>
      </c>
      <c r="C7" s="3">
        <f t="shared" si="0"/>
        <v>45236.472222222219</v>
      </c>
      <c r="D7" s="3" t="s">
        <v>24</v>
      </c>
      <c r="E7" t="s">
        <v>26</v>
      </c>
      <c r="F7">
        <v>25.79</v>
      </c>
      <c r="G7" t="s">
        <v>7</v>
      </c>
      <c r="H7">
        <v>32.924999999999997</v>
      </c>
      <c r="I7">
        <f t="shared" si="1"/>
        <v>7.134999999999998</v>
      </c>
    </row>
    <row r="8" spans="1:9" x14ac:dyDescent="0.25">
      <c r="A8" s="1">
        <v>45236</v>
      </c>
      <c r="B8" s="2">
        <v>0.4826388888888889</v>
      </c>
      <c r="C8" s="3">
        <f t="shared" si="0"/>
        <v>45236.482638888891</v>
      </c>
      <c r="D8" s="3" t="s">
        <v>24</v>
      </c>
      <c r="E8" t="s">
        <v>25</v>
      </c>
      <c r="F8">
        <v>26.07</v>
      </c>
      <c r="G8" t="s">
        <v>7</v>
      </c>
      <c r="H8">
        <v>32.96</v>
      </c>
      <c r="I8">
        <f t="shared" si="1"/>
        <v>6.8900000000000006</v>
      </c>
    </row>
    <row r="9" spans="1:9" x14ac:dyDescent="0.25">
      <c r="A9" s="1">
        <v>45351</v>
      </c>
      <c r="B9" s="2">
        <v>0.41111111111111115</v>
      </c>
      <c r="C9" s="3">
        <f t="shared" si="0"/>
        <v>45351.411111111112</v>
      </c>
      <c r="D9" s="3" t="s">
        <v>24</v>
      </c>
      <c r="E9" t="s">
        <v>26</v>
      </c>
      <c r="F9">
        <v>26.12</v>
      </c>
      <c r="G9" t="s">
        <v>7</v>
      </c>
      <c r="H9">
        <v>32.924999999999997</v>
      </c>
      <c r="I9">
        <f t="shared" si="1"/>
        <v>6.8049999999999962</v>
      </c>
    </row>
    <row r="10" spans="1:9" x14ac:dyDescent="0.25">
      <c r="A10" s="1">
        <v>45351</v>
      </c>
      <c r="B10" s="2">
        <v>0.41597222222222219</v>
      </c>
      <c r="C10" s="3">
        <f t="shared" si="0"/>
        <v>45351.415972222225</v>
      </c>
      <c r="D10" s="3" t="s">
        <v>24</v>
      </c>
      <c r="E10" t="s">
        <v>25</v>
      </c>
      <c r="F10">
        <v>24.84</v>
      </c>
      <c r="G10" t="s">
        <v>7</v>
      </c>
      <c r="H10">
        <v>32.96</v>
      </c>
      <c r="I10">
        <f t="shared" si="1"/>
        <v>8.120000000000001</v>
      </c>
    </row>
    <row r="11" spans="1:9" x14ac:dyDescent="0.25">
      <c r="A11" s="1">
        <v>45434</v>
      </c>
      <c r="B11" s="2">
        <v>0.4152777777777778</v>
      </c>
      <c r="C11" s="3">
        <f t="shared" si="0"/>
        <v>45434.415277777778</v>
      </c>
      <c r="D11" s="3" t="s">
        <v>23</v>
      </c>
      <c r="E11" t="s">
        <v>26</v>
      </c>
      <c r="F11">
        <v>26.39</v>
      </c>
      <c r="G11" t="s">
        <v>7</v>
      </c>
      <c r="H11">
        <v>32.924999999999997</v>
      </c>
      <c r="I11">
        <f t="shared" si="1"/>
        <v>6.5349999999999966</v>
      </c>
    </row>
    <row r="12" spans="1:9" x14ac:dyDescent="0.25">
      <c r="A12" s="1">
        <v>45434</v>
      </c>
      <c r="B12" s="2">
        <v>0.41875000000000001</v>
      </c>
      <c r="C12" s="3">
        <f t="shared" si="0"/>
        <v>45434.418749999997</v>
      </c>
      <c r="D12" s="3" t="s">
        <v>23</v>
      </c>
      <c r="E12" t="s">
        <v>25</v>
      </c>
      <c r="F12">
        <v>26.57</v>
      </c>
      <c r="G12" t="s">
        <v>7</v>
      </c>
      <c r="H12">
        <v>32.96</v>
      </c>
      <c r="I12">
        <f t="shared" si="1"/>
        <v>6.3900000000000006</v>
      </c>
    </row>
    <row r="13" spans="1:9" x14ac:dyDescent="0.25">
      <c r="A13" s="1">
        <v>45538</v>
      </c>
      <c r="B13" s="2">
        <v>0.48888888888888887</v>
      </c>
      <c r="C13" s="3">
        <f t="shared" si="0"/>
        <v>45538.488888888889</v>
      </c>
      <c r="D13" s="3" t="s">
        <v>23</v>
      </c>
      <c r="E13" t="s">
        <v>26</v>
      </c>
      <c r="F13">
        <v>26.69</v>
      </c>
      <c r="G13" t="s">
        <v>7</v>
      </c>
      <c r="H13">
        <v>32.924999999999997</v>
      </c>
      <c r="I13">
        <f t="shared" si="1"/>
        <v>6.2349999999999959</v>
      </c>
    </row>
    <row r="14" spans="1:9" x14ac:dyDescent="0.25">
      <c r="A14" s="1">
        <v>45538</v>
      </c>
      <c r="B14" s="2">
        <v>0.48958333333333331</v>
      </c>
      <c r="C14" s="3">
        <f t="shared" si="0"/>
        <v>45538.489583333336</v>
      </c>
      <c r="D14" s="3" t="s">
        <v>23</v>
      </c>
      <c r="E14" t="s">
        <v>25</v>
      </c>
      <c r="F14">
        <v>26.62</v>
      </c>
      <c r="G14" t="s">
        <v>7</v>
      </c>
      <c r="H14">
        <v>32.96</v>
      </c>
      <c r="I14">
        <f t="shared" si="1"/>
        <v>6.34</v>
      </c>
    </row>
    <row r="15" spans="1:9" x14ac:dyDescent="0.25">
      <c r="A15" s="1">
        <v>45553</v>
      </c>
      <c r="B15" s="2">
        <v>0.44791666666666669</v>
      </c>
      <c r="C15" s="3">
        <f t="shared" ref="C15:C34" si="2">A15+B15</f>
        <v>45553.447916666664</v>
      </c>
      <c r="D15" s="3" t="s">
        <v>24</v>
      </c>
      <c r="E15" t="s">
        <v>25</v>
      </c>
      <c r="F15">
        <v>26.84</v>
      </c>
      <c r="G15" t="s">
        <v>7</v>
      </c>
      <c r="H15">
        <v>32.96</v>
      </c>
      <c r="I15">
        <f t="shared" ref="I15:I31" si="3">H15-F15</f>
        <v>6.120000000000001</v>
      </c>
    </row>
    <row r="16" spans="1:9" x14ac:dyDescent="0.25">
      <c r="A16" s="1">
        <v>45587</v>
      </c>
      <c r="B16" s="2">
        <v>0.4375</v>
      </c>
      <c r="C16" s="3">
        <f t="shared" si="2"/>
        <v>45587.4375</v>
      </c>
      <c r="D16" s="3" t="s">
        <v>24</v>
      </c>
      <c r="E16" t="s">
        <v>26</v>
      </c>
      <c r="F16">
        <v>26.8</v>
      </c>
      <c r="G16" t="s">
        <v>7</v>
      </c>
      <c r="H16">
        <v>32.924999999999997</v>
      </c>
      <c r="I16">
        <f t="shared" si="3"/>
        <v>6.1249999999999964</v>
      </c>
    </row>
    <row r="17" spans="1:9" x14ac:dyDescent="0.25">
      <c r="A17" s="1">
        <v>45587</v>
      </c>
      <c r="B17" s="2">
        <v>0.47916666666666669</v>
      </c>
      <c r="C17" s="3">
        <f t="shared" si="2"/>
        <v>45587.479166666664</v>
      </c>
      <c r="D17" s="3" t="s">
        <v>24</v>
      </c>
      <c r="E17" t="s">
        <v>25</v>
      </c>
      <c r="F17">
        <v>22.78</v>
      </c>
      <c r="G17" t="s">
        <v>7</v>
      </c>
      <c r="H17">
        <v>32.96</v>
      </c>
      <c r="I17">
        <f t="shared" si="3"/>
        <v>10.18</v>
      </c>
    </row>
    <row r="18" spans="1:9" x14ac:dyDescent="0.25">
      <c r="A18" s="1">
        <v>45630</v>
      </c>
      <c r="B18" s="2">
        <v>0.43402777777777773</v>
      </c>
      <c r="C18" s="3">
        <f t="shared" si="2"/>
        <v>45630.434027777781</v>
      </c>
      <c r="D18" s="3" t="s">
        <v>24</v>
      </c>
      <c r="E18" t="s">
        <v>26</v>
      </c>
      <c r="F18">
        <v>26.88</v>
      </c>
      <c r="G18" t="s">
        <v>7</v>
      </c>
      <c r="H18">
        <v>32.924999999999997</v>
      </c>
      <c r="I18">
        <f t="shared" si="3"/>
        <v>6.0449999999999982</v>
      </c>
    </row>
    <row r="19" spans="1:9" x14ac:dyDescent="0.25">
      <c r="A19" s="1">
        <v>45630</v>
      </c>
      <c r="B19" s="2">
        <v>0.43541666666666662</v>
      </c>
      <c r="C19" s="3">
        <f t="shared" si="2"/>
        <v>45630.435416666667</v>
      </c>
      <c r="D19" s="3" t="s">
        <v>24</v>
      </c>
      <c r="E19" t="s">
        <v>25</v>
      </c>
      <c r="F19">
        <v>22.59</v>
      </c>
      <c r="G19" t="s">
        <v>7</v>
      </c>
      <c r="H19">
        <v>32.96</v>
      </c>
      <c r="I19">
        <f t="shared" si="3"/>
        <v>10.370000000000001</v>
      </c>
    </row>
    <row r="20" spans="1:9" x14ac:dyDescent="0.25">
      <c r="A20" s="1">
        <v>45670</v>
      </c>
      <c r="B20" s="2">
        <v>0.58333333333333337</v>
      </c>
      <c r="C20" s="3">
        <f t="shared" si="2"/>
        <v>45670.583333333336</v>
      </c>
      <c r="D20" s="3" t="s">
        <v>24</v>
      </c>
      <c r="E20" t="s">
        <v>26</v>
      </c>
      <c r="F20">
        <v>26.61</v>
      </c>
      <c r="G20" t="s">
        <v>7</v>
      </c>
      <c r="H20">
        <v>32.924999999999997</v>
      </c>
      <c r="I20">
        <f t="shared" si="3"/>
        <v>6.3149999999999977</v>
      </c>
    </row>
    <row r="21" spans="1:9" x14ac:dyDescent="0.25">
      <c r="A21" s="1">
        <v>45670</v>
      </c>
      <c r="B21" s="2">
        <v>0.58333333333333337</v>
      </c>
      <c r="C21" s="3">
        <f t="shared" si="2"/>
        <v>45670.583333333336</v>
      </c>
      <c r="D21" s="3" t="s">
        <v>24</v>
      </c>
      <c r="E21" t="s">
        <v>25</v>
      </c>
      <c r="F21">
        <v>22.03</v>
      </c>
      <c r="G21" t="s">
        <v>7</v>
      </c>
      <c r="H21">
        <v>32.96</v>
      </c>
      <c r="I21">
        <f t="shared" si="3"/>
        <v>10.93</v>
      </c>
    </row>
    <row r="22" spans="1:9" x14ac:dyDescent="0.25">
      <c r="A22" s="1">
        <v>45674</v>
      </c>
      <c r="B22" s="2">
        <v>0.40625</v>
      </c>
      <c r="C22" s="3">
        <f t="shared" si="2"/>
        <v>45674.40625</v>
      </c>
      <c r="D22" s="3" t="s">
        <v>24</v>
      </c>
      <c r="E22" t="s">
        <v>26</v>
      </c>
      <c r="F22">
        <v>26.56</v>
      </c>
      <c r="G22" t="s">
        <v>7</v>
      </c>
      <c r="H22">
        <v>32.924999999999997</v>
      </c>
      <c r="I22">
        <f t="shared" si="3"/>
        <v>6.3649999999999984</v>
      </c>
    </row>
    <row r="23" spans="1:9" x14ac:dyDescent="0.25">
      <c r="A23" s="1">
        <v>45674</v>
      </c>
      <c r="B23" s="2">
        <v>0.42708333333333331</v>
      </c>
      <c r="C23" s="3">
        <f t="shared" si="2"/>
        <v>45674.427083333336</v>
      </c>
      <c r="D23" s="3" t="s">
        <v>24</v>
      </c>
      <c r="E23" t="s">
        <v>25</v>
      </c>
      <c r="F23">
        <v>22.72</v>
      </c>
      <c r="G23" t="s">
        <v>7</v>
      </c>
      <c r="H23">
        <v>32.96</v>
      </c>
      <c r="I23">
        <f t="shared" si="3"/>
        <v>10.240000000000002</v>
      </c>
    </row>
    <row r="24" spans="1:9" x14ac:dyDescent="0.25">
      <c r="A24" s="1">
        <v>45705</v>
      </c>
      <c r="B24" s="2">
        <v>0.59722222222222221</v>
      </c>
      <c r="C24" s="3">
        <f t="shared" si="2"/>
        <v>45705.597222222219</v>
      </c>
      <c r="D24" s="3" t="s">
        <v>24</v>
      </c>
      <c r="E24" t="s">
        <v>26</v>
      </c>
      <c r="F24">
        <v>26.53</v>
      </c>
      <c r="G24" t="s">
        <v>7</v>
      </c>
      <c r="H24">
        <v>32.924999999999997</v>
      </c>
      <c r="I24">
        <f t="shared" si="3"/>
        <v>6.394999999999996</v>
      </c>
    </row>
    <row r="25" spans="1:9" x14ac:dyDescent="0.25">
      <c r="A25" s="1">
        <v>45707</v>
      </c>
      <c r="B25" s="2">
        <v>0.35416666666666669</v>
      </c>
      <c r="C25" s="3">
        <f t="shared" si="2"/>
        <v>45707.354166666664</v>
      </c>
      <c r="D25" s="3" t="s">
        <v>24</v>
      </c>
      <c r="E25" t="s">
        <v>26</v>
      </c>
      <c r="F25">
        <v>26.56</v>
      </c>
      <c r="G25" t="s">
        <v>7</v>
      </c>
      <c r="H25">
        <v>32.924999999999997</v>
      </c>
      <c r="I25">
        <f t="shared" si="3"/>
        <v>6.3649999999999984</v>
      </c>
    </row>
    <row r="26" spans="1:9" x14ac:dyDescent="0.25">
      <c r="A26" s="1">
        <v>45705</v>
      </c>
      <c r="B26" s="2">
        <v>0.59722222222222221</v>
      </c>
      <c r="C26" s="3">
        <f t="shared" si="2"/>
        <v>45705.597222222219</v>
      </c>
      <c r="D26" s="3" t="s">
        <v>24</v>
      </c>
      <c r="E26" t="s">
        <v>25</v>
      </c>
      <c r="F26">
        <v>22.56</v>
      </c>
      <c r="G26" t="s">
        <v>7</v>
      </c>
      <c r="H26">
        <v>32.96</v>
      </c>
      <c r="I26">
        <f t="shared" si="3"/>
        <v>10.400000000000002</v>
      </c>
    </row>
    <row r="27" spans="1:9" x14ac:dyDescent="0.25">
      <c r="A27" s="1">
        <v>45707</v>
      </c>
      <c r="B27" s="2">
        <v>0.35416666666666669</v>
      </c>
      <c r="C27" s="3">
        <f t="shared" si="2"/>
        <v>45707.354166666664</v>
      </c>
      <c r="D27" s="3" t="s">
        <v>24</v>
      </c>
      <c r="E27" t="s">
        <v>25</v>
      </c>
      <c r="F27">
        <v>22.59</v>
      </c>
      <c r="G27" t="s">
        <v>7</v>
      </c>
      <c r="H27">
        <v>32.96</v>
      </c>
      <c r="I27">
        <f t="shared" si="3"/>
        <v>10.370000000000001</v>
      </c>
    </row>
    <row r="28" spans="1:9" x14ac:dyDescent="0.25">
      <c r="A28" s="1">
        <v>45707</v>
      </c>
      <c r="B28" s="2">
        <v>0.5625</v>
      </c>
      <c r="C28" s="3">
        <f t="shared" si="2"/>
        <v>45707.5625</v>
      </c>
      <c r="D28" s="3" t="s">
        <v>24</v>
      </c>
      <c r="E28" t="s">
        <v>25</v>
      </c>
      <c r="F28">
        <v>23.05</v>
      </c>
      <c r="G28" t="s">
        <v>7</v>
      </c>
      <c r="H28">
        <v>32.96</v>
      </c>
      <c r="I28">
        <f t="shared" si="3"/>
        <v>9.91</v>
      </c>
    </row>
    <row r="29" spans="1:9" x14ac:dyDescent="0.25">
      <c r="A29" s="1">
        <v>45707</v>
      </c>
      <c r="B29" s="2">
        <v>0.56944444444444442</v>
      </c>
      <c r="C29" s="3">
        <f t="shared" si="2"/>
        <v>45707.569444444445</v>
      </c>
      <c r="D29" s="3" t="s">
        <v>24</v>
      </c>
      <c r="E29" t="s">
        <v>26</v>
      </c>
      <c r="F29">
        <v>26.62</v>
      </c>
      <c r="G29" t="s">
        <v>7</v>
      </c>
      <c r="H29">
        <v>32.924999999999997</v>
      </c>
      <c r="I29">
        <f t="shared" si="3"/>
        <v>6.3049999999999962</v>
      </c>
    </row>
    <row r="30" spans="1:9" x14ac:dyDescent="0.25">
      <c r="A30" s="1">
        <v>45728</v>
      </c>
      <c r="B30" s="2">
        <v>0.37847222222222227</v>
      </c>
      <c r="C30" s="3">
        <f t="shared" si="2"/>
        <v>45728.378472222219</v>
      </c>
      <c r="D30" s="3" t="s">
        <v>24</v>
      </c>
      <c r="E30" t="s">
        <v>26</v>
      </c>
      <c r="F30">
        <v>26.76</v>
      </c>
      <c r="G30" t="s">
        <v>7</v>
      </c>
      <c r="H30">
        <v>32.924999999999997</v>
      </c>
      <c r="I30">
        <f t="shared" si="3"/>
        <v>6.1649999999999956</v>
      </c>
    </row>
    <row r="31" spans="1:9" x14ac:dyDescent="0.25">
      <c r="A31" s="1">
        <v>45728</v>
      </c>
      <c r="B31" s="2">
        <v>0.74652777777777779</v>
      </c>
      <c r="C31" s="3">
        <f t="shared" si="2"/>
        <v>45728.746527777781</v>
      </c>
      <c r="D31" s="3" t="s">
        <v>24</v>
      </c>
      <c r="E31" t="s">
        <v>26</v>
      </c>
      <c r="F31">
        <v>26.82</v>
      </c>
      <c r="G31" t="s">
        <v>7</v>
      </c>
      <c r="H31">
        <v>32.924999999999997</v>
      </c>
      <c r="I31">
        <f t="shared" si="3"/>
        <v>6.1049999999999969</v>
      </c>
    </row>
    <row r="32" spans="1:9" x14ac:dyDescent="0.25">
      <c r="A32" s="1">
        <v>45728</v>
      </c>
      <c r="B32" s="2">
        <v>0.73958333333333337</v>
      </c>
      <c r="C32" s="3">
        <v>45728.739583333336</v>
      </c>
      <c r="D32" s="3" t="s">
        <v>24</v>
      </c>
      <c r="E32" t="s">
        <v>25</v>
      </c>
      <c r="F32">
        <v>23.13</v>
      </c>
      <c r="G32" t="s">
        <v>7</v>
      </c>
      <c r="H32">
        <v>32.96</v>
      </c>
      <c r="I32">
        <v>9.8300000000000018</v>
      </c>
    </row>
    <row r="33" spans="1:9" x14ac:dyDescent="0.25">
      <c r="A33" s="1">
        <v>45749</v>
      </c>
      <c r="B33" s="2">
        <v>0.35416666666666669</v>
      </c>
      <c r="C33" s="3">
        <f t="shared" ref="C33:C40" si="4">A33+B33</f>
        <v>45749.354166666664</v>
      </c>
      <c r="D33" s="6" t="s">
        <v>24</v>
      </c>
      <c r="E33" t="s">
        <v>26</v>
      </c>
      <c r="F33">
        <v>26.89</v>
      </c>
      <c r="G33" t="s">
        <v>7</v>
      </c>
      <c r="H33">
        <v>32.924999999999997</v>
      </c>
      <c r="I33">
        <f t="shared" ref="I33:I40" si="5">H33-F33</f>
        <v>6.0349999999999966</v>
      </c>
    </row>
    <row r="34" spans="1:9" x14ac:dyDescent="0.25">
      <c r="A34" s="1">
        <v>45749</v>
      </c>
      <c r="B34" s="2">
        <v>0.35555555555555557</v>
      </c>
      <c r="C34" s="3">
        <f t="shared" si="4"/>
        <v>45749.355555555558</v>
      </c>
      <c r="D34" s="6" t="s">
        <v>24</v>
      </c>
      <c r="E34" t="s">
        <v>25</v>
      </c>
      <c r="F34">
        <v>23.97</v>
      </c>
      <c r="G34" t="s">
        <v>7</v>
      </c>
      <c r="H34">
        <v>32.96</v>
      </c>
      <c r="I34">
        <f t="shared" si="5"/>
        <v>8.990000000000002</v>
      </c>
    </row>
    <row r="35" spans="1:9" x14ac:dyDescent="0.25">
      <c r="A35" s="1">
        <v>45839</v>
      </c>
      <c r="B35" s="2">
        <v>0.375</v>
      </c>
      <c r="C35" s="3">
        <f t="shared" si="4"/>
        <v>45839.375</v>
      </c>
      <c r="D35" s="3" t="s">
        <v>24</v>
      </c>
      <c r="E35" t="s">
        <v>26</v>
      </c>
      <c r="F35">
        <v>27.39</v>
      </c>
      <c r="G35" t="s">
        <v>7</v>
      </c>
      <c r="H35">
        <v>32.924999999999997</v>
      </c>
      <c r="I35">
        <f t="shared" si="5"/>
        <v>5.5349999999999966</v>
      </c>
    </row>
    <row r="36" spans="1:9" x14ac:dyDescent="0.25">
      <c r="A36" s="1">
        <v>45839</v>
      </c>
      <c r="B36" s="2">
        <v>0.375</v>
      </c>
      <c r="C36" s="3">
        <f t="shared" si="4"/>
        <v>45839.375</v>
      </c>
      <c r="D36" s="3" t="s">
        <v>24</v>
      </c>
      <c r="E36" t="s">
        <v>25</v>
      </c>
      <c r="F36">
        <v>27.29</v>
      </c>
      <c r="G36" t="s">
        <v>7</v>
      </c>
      <c r="H36">
        <v>32.96</v>
      </c>
      <c r="I36">
        <f t="shared" si="5"/>
        <v>5.6700000000000017</v>
      </c>
    </row>
    <row r="37" spans="1:9" x14ac:dyDescent="0.25">
      <c r="A37" s="1">
        <v>45932</v>
      </c>
      <c r="B37" s="2">
        <v>0.28749999999999998</v>
      </c>
      <c r="C37" s="3">
        <f t="shared" si="4"/>
        <v>45932.287499999999</v>
      </c>
      <c r="D37" s="3" t="s">
        <v>24</v>
      </c>
      <c r="E37" t="s">
        <v>26</v>
      </c>
      <c r="F37">
        <v>27.78</v>
      </c>
      <c r="G37" t="s">
        <v>7</v>
      </c>
      <c r="H37">
        <v>32.924999999999997</v>
      </c>
      <c r="I37">
        <f t="shared" si="5"/>
        <v>5.144999999999996</v>
      </c>
    </row>
    <row r="38" spans="1:9" x14ac:dyDescent="0.25">
      <c r="A38" s="1">
        <v>45932</v>
      </c>
      <c r="B38" s="2">
        <v>0.28749999999999998</v>
      </c>
      <c r="C38" s="3">
        <f t="shared" si="4"/>
        <v>45932.287499999999</v>
      </c>
      <c r="D38" s="3" t="s">
        <v>24</v>
      </c>
      <c r="E38" t="s">
        <v>25</v>
      </c>
      <c r="F38">
        <v>24.09</v>
      </c>
      <c r="G38" t="s">
        <v>7</v>
      </c>
      <c r="H38">
        <v>32.96</v>
      </c>
      <c r="I38">
        <f t="shared" si="5"/>
        <v>8.870000000000001</v>
      </c>
    </row>
    <row r="39" spans="1:9" x14ac:dyDescent="0.25">
      <c r="A39" s="1">
        <v>45932</v>
      </c>
      <c r="B39" s="2">
        <v>0.61388888888888893</v>
      </c>
      <c r="C39" s="3">
        <f t="shared" si="4"/>
        <v>45932.613888888889</v>
      </c>
      <c r="D39" s="3" t="s">
        <v>24</v>
      </c>
      <c r="E39" t="s">
        <v>26</v>
      </c>
      <c r="F39">
        <v>27.76</v>
      </c>
      <c r="G39" t="s">
        <v>7</v>
      </c>
      <c r="H39">
        <v>32.924999999999997</v>
      </c>
      <c r="I39">
        <f t="shared" si="5"/>
        <v>5.1649999999999956</v>
      </c>
    </row>
    <row r="40" spans="1:9" x14ac:dyDescent="0.25">
      <c r="A40" s="1">
        <v>45932</v>
      </c>
      <c r="B40" s="2">
        <v>0.62847222222222221</v>
      </c>
      <c r="C40" s="3">
        <f t="shared" si="4"/>
        <v>45932.628472222219</v>
      </c>
      <c r="D40" s="3" t="s">
        <v>24</v>
      </c>
      <c r="E40" t="s">
        <v>25</v>
      </c>
      <c r="F40">
        <v>24.05</v>
      </c>
      <c r="G40" t="s">
        <v>7</v>
      </c>
      <c r="H40">
        <v>32.96</v>
      </c>
      <c r="I40">
        <f t="shared" si="5"/>
        <v>8.91</v>
      </c>
    </row>
    <row r="41" spans="1:9" x14ac:dyDescent="0.25">
      <c r="A41" s="1"/>
      <c r="B41" s="2"/>
      <c r="C41" s="3"/>
      <c r="D41" s="3"/>
    </row>
  </sheetData>
  <autoFilter ref="A1:J37" xr:uid="{00000000-0009-0000-0000-000000000000}">
    <sortState xmlns:xlrd2="http://schemas.microsoft.com/office/spreadsheetml/2017/richdata2" ref="A2:J10">
      <sortCondition ref="C1:C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selection activeCell="K41" sqref="K41"/>
    </sheetView>
  </sheetViews>
  <sheetFormatPr defaultRowHeight="15" x14ac:dyDescent="0.25"/>
  <cols>
    <col min="1" max="1" width="10.7109375" bestFit="1" customWidth="1"/>
    <col min="3" max="3" width="15.85546875" bestFit="1" customWidth="1"/>
    <col min="5" max="5" width="15.140625" bestFit="1" customWidth="1"/>
    <col min="6" max="6" width="15.42578125" bestFit="1" customWidth="1"/>
    <col min="7" max="7" width="16.85546875" bestFit="1" customWidth="1"/>
    <col min="8" max="8" width="5.28515625" bestFit="1" customWidth="1"/>
    <col min="9" max="9" width="10.7109375" bestFit="1" customWidth="1"/>
    <col min="10" max="10" width="12.5703125" bestFit="1" customWidth="1"/>
    <col min="11" max="11" width="1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18</v>
      </c>
      <c r="I1" t="s">
        <v>21</v>
      </c>
      <c r="J1" t="s">
        <v>17</v>
      </c>
      <c r="K1" t="s">
        <v>9</v>
      </c>
    </row>
    <row r="2" spans="1:11" x14ac:dyDescent="0.25">
      <c r="A2" s="1">
        <v>45145</v>
      </c>
      <c r="B2" s="2">
        <v>0.60416666666666663</v>
      </c>
      <c r="C2" s="3">
        <f t="shared" ref="C2:C16" si="0">A2+B2</f>
        <v>45145.604166666664</v>
      </c>
      <c r="D2" t="s">
        <v>25</v>
      </c>
      <c r="E2" t="s">
        <v>19</v>
      </c>
      <c r="J2" t="s">
        <v>19</v>
      </c>
      <c r="K2" t="s">
        <v>10</v>
      </c>
    </row>
    <row r="3" spans="1:11" x14ac:dyDescent="0.25">
      <c r="A3" s="1">
        <v>45145</v>
      </c>
      <c r="B3" s="2">
        <v>0.625</v>
      </c>
      <c r="C3" s="3">
        <f t="shared" si="0"/>
        <v>45145.625</v>
      </c>
      <c r="D3" t="s">
        <v>25</v>
      </c>
      <c r="F3" t="s">
        <v>19</v>
      </c>
      <c r="H3" t="s">
        <v>19</v>
      </c>
      <c r="J3" t="s">
        <v>19</v>
      </c>
      <c r="K3" t="s">
        <v>11</v>
      </c>
    </row>
    <row r="4" spans="1:11" x14ac:dyDescent="0.25">
      <c r="A4" s="1">
        <v>45161</v>
      </c>
      <c r="B4" s="2">
        <v>0.5</v>
      </c>
      <c r="C4" s="3">
        <f t="shared" si="0"/>
        <v>45161.5</v>
      </c>
      <c r="D4" t="s">
        <v>25</v>
      </c>
      <c r="E4" t="s">
        <v>19</v>
      </c>
      <c r="F4" t="s">
        <v>19</v>
      </c>
      <c r="I4" t="s">
        <v>19</v>
      </c>
      <c r="J4" t="s">
        <v>19</v>
      </c>
      <c r="K4" t="s">
        <v>12</v>
      </c>
    </row>
    <row r="5" spans="1:11" x14ac:dyDescent="0.25">
      <c r="A5" s="1">
        <v>45161</v>
      </c>
      <c r="B5" s="2">
        <v>0.54166666666666663</v>
      </c>
      <c r="C5" s="3">
        <f t="shared" si="0"/>
        <v>45161.541666666664</v>
      </c>
      <c r="D5" t="s">
        <v>25</v>
      </c>
      <c r="E5" t="s">
        <v>19</v>
      </c>
      <c r="J5" t="s">
        <v>19</v>
      </c>
      <c r="K5" t="s">
        <v>13</v>
      </c>
    </row>
    <row r="6" spans="1:11" x14ac:dyDescent="0.25">
      <c r="A6" s="1">
        <v>45351</v>
      </c>
      <c r="B6" s="2">
        <v>0.41666666666666669</v>
      </c>
      <c r="C6" s="3">
        <f t="shared" si="0"/>
        <v>45351.416666666664</v>
      </c>
      <c r="D6" t="s">
        <v>25</v>
      </c>
      <c r="E6" t="s">
        <v>19</v>
      </c>
      <c r="F6" t="s">
        <v>19</v>
      </c>
      <c r="G6" t="s">
        <v>19</v>
      </c>
      <c r="H6" t="s">
        <v>19</v>
      </c>
      <c r="J6" t="s">
        <v>19</v>
      </c>
      <c r="K6" t="s">
        <v>27</v>
      </c>
    </row>
    <row r="7" spans="1:11" x14ac:dyDescent="0.25">
      <c r="A7" s="1">
        <v>45351</v>
      </c>
      <c r="B7" s="2">
        <v>0.41111111111111115</v>
      </c>
      <c r="C7" s="3">
        <f t="shared" si="0"/>
        <v>45351.411111111112</v>
      </c>
      <c r="D7" t="s">
        <v>26</v>
      </c>
      <c r="G7" t="s">
        <v>19</v>
      </c>
      <c r="K7" t="s">
        <v>28</v>
      </c>
    </row>
    <row r="8" spans="1:11" x14ac:dyDescent="0.25">
      <c r="A8" s="1">
        <v>45437</v>
      </c>
      <c r="B8" s="2">
        <v>0.4152777777777778</v>
      </c>
      <c r="C8" s="3">
        <f t="shared" si="0"/>
        <v>45437.415277777778</v>
      </c>
      <c r="D8" t="s">
        <v>26</v>
      </c>
      <c r="G8" t="s">
        <v>19</v>
      </c>
      <c r="J8" t="s">
        <v>19</v>
      </c>
      <c r="K8" t="s">
        <v>29</v>
      </c>
    </row>
    <row r="9" spans="1:11" x14ac:dyDescent="0.25">
      <c r="A9" s="1">
        <v>45437</v>
      </c>
      <c r="B9" s="2">
        <v>0.41875000000000001</v>
      </c>
      <c r="C9" s="3">
        <f t="shared" si="0"/>
        <v>45437.418749999997</v>
      </c>
      <c r="D9" t="s">
        <v>25</v>
      </c>
      <c r="G9" t="s">
        <v>19</v>
      </c>
      <c r="H9" t="s">
        <v>19</v>
      </c>
      <c r="K9" t="s">
        <v>30</v>
      </c>
    </row>
    <row r="10" spans="1:11" x14ac:dyDescent="0.25">
      <c r="A10" s="1">
        <v>45538</v>
      </c>
      <c r="B10" s="2">
        <v>0.48888888888888887</v>
      </c>
      <c r="C10" s="3">
        <f t="shared" si="0"/>
        <v>45538.488888888889</v>
      </c>
      <c r="D10" t="s">
        <v>26</v>
      </c>
      <c r="E10" t="s">
        <v>19</v>
      </c>
      <c r="F10" t="s">
        <v>19</v>
      </c>
      <c r="G10" t="s">
        <v>19</v>
      </c>
      <c r="H10" t="s">
        <v>19</v>
      </c>
      <c r="K10" t="s">
        <v>31</v>
      </c>
    </row>
    <row r="11" spans="1:11" x14ac:dyDescent="0.25">
      <c r="A11" s="1">
        <v>45538</v>
      </c>
      <c r="B11" s="2">
        <v>0.48958333333333331</v>
      </c>
      <c r="C11" s="3">
        <f t="shared" si="0"/>
        <v>45538.489583333336</v>
      </c>
      <c r="D11" t="s">
        <v>25</v>
      </c>
      <c r="E11" t="s">
        <v>19</v>
      </c>
      <c r="F11" t="s">
        <v>19</v>
      </c>
      <c r="G11" t="s">
        <v>19</v>
      </c>
      <c r="H11" t="s">
        <v>19</v>
      </c>
      <c r="K11" t="s">
        <v>32</v>
      </c>
    </row>
    <row r="12" spans="1:11" x14ac:dyDescent="0.25">
      <c r="A12" s="1">
        <v>45553</v>
      </c>
      <c r="B12" s="2">
        <v>0.45833333333333331</v>
      </c>
      <c r="C12" s="3">
        <f t="shared" si="0"/>
        <v>45553.458333333336</v>
      </c>
      <c r="D12" t="s">
        <v>26</v>
      </c>
      <c r="G12" t="s">
        <v>19</v>
      </c>
    </row>
    <row r="13" spans="1:11" x14ac:dyDescent="0.25">
      <c r="A13" s="1">
        <v>45553</v>
      </c>
      <c r="B13" s="2">
        <v>0.46527777777777773</v>
      </c>
      <c r="C13" s="3">
        <f t="shared" si="0"/>
        <v>45553.465277777781</v>
      </c>
      <c r="D13" t="s">
        <v>25</v>
      </c>
      <c r="G13" t="s">
        <v>19</v>
      </c>
      <c r="H13" t="s">
        <v>19</v>
      </c>
      <c r="K13" s="4" t="s">
        <v>33</v>
      </c>
    </row>
    <row r="14" spans="1:11" x14ac:dyDescent="0.25">
      <c r="A14" s="1">
        <v>45587</v>
      </c>
      <c r="B14" s="2">
        <v>0.52083333333333337</v>
      </c>
      <c r="C14" s="3">
        <f t="shared" si="0"/>
        <v>45587.520833333336</v>
      </c>
      <c r="D14" t="s">
        <v>25</v>
      </c>
      <c r="G14" t="s">
        <v>19</v>
      </c>
      <c r="H14" t="s">
        <v>19</v>
      </c>
      <c r="K14" s="4" t="s">
        <v>34</v>
      </c>
    </row>
    <row r="15" spans="1:11" x14ac:dyDescent="0.25">
      <c r="A15" s="1">
        <v>45630</v>
      </c>
      <c r="B15" s="2">
        <v>0.41666666666666669</v>
      </c>
      <c r="C15" s="3">
        <f t="shared" si="0"/>
        <v>45630.416666666664</v>
      </c>
      <c r="D15" t="s">
        <v>25</v>
      </c>
      <c r="G15" t="s">
        <v>19</v>
      </c>
      <c r="K15" t="s">
        <v>35</v>
      </c>
    </row>
    <row r="16" spans="1:11" x14ac:dyDescent="0.25">
      <c r="A16" s="1">
        <v>45630</v>
      </c>
      <c r="B16" s="2">
        <v>0.41666666666666669</v>
      </c>
      <c r="C16" s="3">
        <f t="shared" si="0"/>
        <v>45630.416666666664</v>
      </c>
      <c r="D16" t="s">
        <v>26</v>
      </c>
      <c r="G16" t="s">
        <v>19</v>
      </c>
      <c r="K16" t="s">
        <v>35</v>
      </c>
    </row>
    <row r="17" spans="1:11" x14ac:dyDescent="0.25">
      <c r="A17" s="1">
        <v>45670</v>
      </c>
      <c r="B17" s="2">
        <v>0.58333333333333337</v>
      </c>
      <c r="C17" s="3">
        <f t="shared" ref="C17:C28" si="1">A17+B17</f>
        <v>45670.583333333336</v>
      </c>
      <c r="D17" t="s">
        <v>26</v>
      </c>
      <c r="F17" t="s">
        <v>19</v>
      </c>
      <c r="G17" t="s">
        <v>19</v>
      </c>
      <c r="K17" t="s">
        <v>36</v>
      </c>
    </row>
    <row r="18" spans="1:11" x14ac:dyDescent="0.25">
      <c r="A18" s="1">
        <v>45670</v>
      </c>
      <c r="B18" s="2">
        <v>0.58333333333333337</v>
      </c>
      <c r="C18" s="3">
        <f t="shared" si="1"/>
        <v>45670.583333333336</v>
      </c>
      <c r="D18" t="s">
        <v>25</v>
      </c>
      <c r="F18" t="s">
        <v>19</v>
      </c>
      <c r="G18" t="s">
        <v>19</v>
      </c>
      <c r="K18" t="s">
        <v>36</v>
      </c>
    </row>
    <row r="19" spans="1:11" x14ac:dyDescent="0.25">
      <c r="A19" s="1">
        <v>45674</v>
      </c>
      <c r="B19" s="2">
        <v>0.40625</v>
      </c>
      <c r="C19" s="3">
        <f t="shared" si="1"/>
        <v>45674.40625</v>
      </c>
      <c r="D19" t="s">
        <v>26</v>
      </c>
      <c r="E19" t="s">
        <v>19</v>
      </c>
      <c r="G19" t="s">
        <v>19</v>
      </c>
      <c r="K19" t="s">
        <v>41</v>
      </c>
    </row>
    <row r="20" spans="1:11" x14ac:dyDescent="0.25">
      <c r="A20" s="1">
        <v>45674</v>
      </c>
      <c r="B20" s="2">
        <v>0.42708333333333331</v>
      </c>
      <c r="C20" s="3">
        <f t="shared" si="1"/>
        <v>45674.427083333336</v>
      </c>
      <c r="D20" t="s">
        <v>25</v>
      </c>
      <c r="E20" t="s">
        <v>19</v>
      </c>
      <c r="G20" t="s">
        <v>19</v>
      </c>
      <c r="K20" t="s">
        <v>41</v>
      </c>
    </row>
    <row r="21" spans="1:11" x14ac:dyDescent="0.25">
      <c r="A21" s="1">
        <v>45705</v>
      </c>
      <c r="B21" s="2">
        <v>0.59722222222222221</v>
      </c>
      <c r="C21" s="3">
        <f t="shared" si="1"/>
        <v>45705.597222222219</v>
      </c>
      <c r="D21" t="s">
        <v>26</v>
      </c>
      <c r="F21" t="s">
        <v>19</v>
      </c>
      <c r="G21" t="s">
        <v>19</v>
      </c>
      <c r="K21" t="s">
        <v>39</v>
      </c>
    </row>
    <row r="22" spans="1:11" x14ac:dyDescent="0.25">
      <c r="A22" s="1">
        <v>45707</v>
      </c>
      <c r="B22" s="2">
        <v>0.35416666666666669</v>
      </c>
      <c r="C22" s="3">
        <f t="shared" si="1"/>
        <v>45707.354166666664</v>
      </c>
      <c r="D22" t="s">
        <v>26</v>
      </c>
      <c r="G22" t="s">
        <v>19</v>
      </c>
    </row>
    <row r="23" spans="1:11" x14ac:dyDescent="0.25">
      <c r="A23" s="1">
        <v>45705</v>
      </c>
      <c r="B23" s="2">
        <v>0.59722222222222221</v>
      </c>
      <c r="C23" s="3">
        <f t="shared" si="1"/>
        <v>45705.597222222219</v>
      </c>
      <c r="D23" t="s">
        <v>25</v>
      </c>
      <c r="F23" t="s">
        <v>19</v>
      </c>
      <c r="G23" t="s">
        <v>19</v>
      </c>
      <c r="K23" t="s">
        <v>39</v>
      </c>
    </row>
    <row r="24" spans="1:11" x14ac:dyDescent="0.25">
      <c r="A24" s="1">
        <v>45707</v>
      </c>
      <c r="B24" s="2">
        <v>0.35416666666666669</v>
      </c>
      <c r="C24" s="3">
        <f t="shared" si="1"/>
        <v>45707.354166666664</v>
      </c>
      <c r="D24" t="s">
        <v>25</v>
      </c>
      <c r="G24" t="s">
        <v>19</v>
      </c>
    </row>
    <row r="25" spans="1:11" x14ac:dyDescent="0.25">
      <c r="A25" s="1">
        <v>45707</v>
      </c>
      <c r="B25" s="2">
        <v>0.5625</v>
      </c>
      <c r="C25" s="3">
        <f t="shared" si="1"/>
        <v>45707.5625</v>
      </c>
      <c r="D25" t="s">
        <v>25</v>
      </c>
      <c r="E25" t="s">
        <v>19</v>
      </c>
      <c r="G25" t="s">
        <v>19</v>
      </c>
      <c r="K25" t="s">
        <v>40</v>
      </c>
    </row>
    <row r="26" spans="1:11" x14ac:dyDescent="0.25">
      <c r="A26" s="1">
        <v>45707</v>
      </c>
      <c r="B26" s="2">
        <v>0.56944444444444442</v>
      </c>
      <c r="C26" s="3">
        <f t="shared" si="1"/>
        <v>45707.569444444445</v>
      </c>
      <c r="D26" t="s">
        <v>26</v>
      </c>
      <c r="E26" t="s">
        <v>19</v>
      </c>
      <c r="G26" t="s">
        <v>19</v>
      </c>
      <c r="K26" t="s">
        <v>40</v>
      </c>
    </row>
    <row r="27" spans="1:11" x14ac:dyDescent="0.25">
      <c r="A27" s="1">
        <v>45728</v>
      </c>
      <c r="B27" s="2">
        <v>0.37847222222222227</v>
      </c>
      <c r="C27" s="3">
        <f t="shared" si="1"/>
        <v>45728.378472222219</v>
      </c>
      <c r="D27" t="s">
        <v>26</v>
      </c>
      <c r="G27" t="s">
        <v>19</v>
      </c>
    </row>
    <row r="28" spans="1:11" x14ac:dyDescent="0.25">
      <c r="A28" s="1">
        <v>45728</v>
      </c>
      <c r="B28" s="2">
        <v>0.74652777777777779</v>
      </c>
      <c r="C28" s="3">
        <f t="shared" si="1"/>
        <v>45728.746527777781</v>
      </c>
      <c r="D28" t="s">
        <v>26</v>
      </c>
      <c r="E28" t="s">
        <v>19</v>
      </c>
      <c r="F28" t="s">
        <v>19</v>
      </c>
      <c r="G28" t="s">
        <v>19</v>
      </c>
      <c r="K28" t="s">
        <v>37</v>
      </c>
    </row>
    <row r="29" spans="1:11" x14ac:dyDescent="0.25">
      <c r="A29" s="1">
        <v>45728</v>
      </c>
      <c r="B29" s="2">
        <v>0.73958333333333337</v>
      </c>
      <c r="C29" s="3">
        <v>45728.739583333336</v>
      </c>
      <c r="D29" t="s">
        <v>25</v>
      </c>
      <c r="E29" t="s">
        <v>19</v>
      </c>
      <c r="F29" t="s">
        <v>19</v>
      </c>
      <c r="G29" t="s">
        <v>19</v>
      </c>
      <c r="K29" t="s">
        <v>37</v>
      </c>
    </row>
    <row r="30" spans="1:11" x14ac:dyDescent="0.25">
      <c r="A30" s="1">
        <v>45749</v>
      </c>
      <c r="B30" s="2">
        <v>0.35416666666666669</v>
      </c>
      <c r="C30" s="3">
        <f t="shared" ref="C30:C37" si="2">A30+B30</f>
        <v>45749.354166666664</v>
      </c>
      <c r="D30" t="s">
        <v>26</v>
      </c>
      <c r="G30" t="s">
        <v>19</v>
      </c>
      <c r="J30" t="s">
        <v>19</v>
      </c>
      <c r="K30" t="s">
        <v>38</v>
      </c>
    </row>
    <row r="31" spans="1:11" x14ac:dyDescent="0.25">
      <c r="A31" s="1">
        <v>45749</v>
      </c>
      <c r="B31" s="2">
        <v>0.35555555555555557</v>
      </c>
      <c r="C31" s="3">
        <f t="shared" si="2"/>
        <v>45749.355555555558</v>
      </c>
      <c r="D31" t="s">
        <v>25</v>
      </c>
      <c r="G31" t="s">
        <v>19</v>
      </c>
      <c r="J31" t="s">
        <v>19</v>
      </c>
      <c r="K31" t="s">
        <v>38</v>
      </c>
    </row>
    <row r="32" spans="1:11" x14ac:dyDescent="0.25">
      <c r="A32" s="1">
        <v>45839</v>
      </c>
      <c r="B32" s="2">
        <v>0.375</v>
      </c>
      <c r="C32" s="3">
        <f t="shared" si="2"/>
        <v>45839.375</v>
      </c>
      <c r="D32" t="s">
        <v>26</v>
      </c>
      <c r="G32" t="s">
        <v>19</v>
      </c>
      <c r="K32" t="s">
        <v>42</v>
      </c>
    </row>
    <row r="33" spans="1:11" x14ac:dyDescent="0.25">
      <c r="A33" s="1">
        <v>45839</v>
      </c>
      <c r="B33" s="2">
        <v>0.375</v>
      </c>
      <c r="C33" s="3">
        <f t="shared" si="2"/>
        <v>45839.375</v>
      </c>
      <c r="D33" t="s">
        <v>25</v>
      </c>
      <c r="G33" t="s">
        <v>19</v>
      </c>
      <c r="K33" t="s">
        <v>42</v>
      </c>
    </row>
    <row r="34" spans="1:11" x14ac:dyDescent="0.25">
      <c r="A34" s="1">
        <v>45932</v>
      </c>
      <c r="B34" s="2">
        <v>0.28749999999999998</v>
      </c>
      <c r="C34" s="3">
        <f t="shared" si="2"/>
        <v>45932.287499999999</v>
      </c>
      <c r="D34" t="s">
        <v>26</v>
      </c>
      <c r="F34" s="5" t="s">
        <v>19</v>
      </c>
      <c r="G34" t="s">
        <v>19</v>
      </c>
      <c r="K34" t="s">
        <v>39</v>
      </c>
    </row>
    <row r="35" spans="1:11" x14ac:dyDescent="0.25">
      <c r="A35" s="1">
        <v>45932</v>
      </c>
      <c r="B35" s="2">
        <v>0.28749999999999998</v>
      </c>
      <c r="C35" s="3">
        <f t="shared" si="2"/>
        <v>45932.287499999999</v>
      </c>
      <c r="D35" t="s">
        <v>25</v>
      </c>
      <c r="F35" s="5" t="s">
        <v>19</v>
      </c>
      <c r="G35" t="s">
        <v>19</v>
      </c>
      <c r="K35" t="s">
        <v>39</v>
      </c>
    </row>
    <row r="36" spans="1:11" x14ac:dyDescent="0.25">
      <c r="A36" s="1">
        <v>45932</v>
      </c>
      <c r="B36" s="2">
        <v>0.61388888888888893</v>
      </c>
      <c r="C36" s="3">
        <f t="shared" si="2"/>
        <v>45932.613888888889</v>
      </c>
      <c r="D36" t="s">
        <v>26</v>
      </c>
      <c r="E36" s="5" t="s">
        <v>19</v>
      </c>
      <c r="G36" t="s">
        <v>19</v>
      </c>
      <c r="K36" t="s">
        <v>40</v>
      </c>
    </row>
    <row r="37" spans="1:11" x14ac:dyDescent="0.25">
      <c r="A37" s="1">
        <v>45932</v>
      </c>
      <c r="B37" s="2">
        <v>0.62847222222222221</v>
      </c>
      <c r="C37" s="3">
        <f t="shared" si="2"/>
        <v>45932.628472222219</v>
      </c>
      <c r="D37" t="s">
        <v>25</v>
      </c>
      <c r="E37" s="5" t="s">
        <v>19</v>
      </c>
      <c r="G37" t="s">
        <v>19</v>
      </c>
      <c r="K37" t="s">
        <v>40</v>
      </c>
    </row>
  </sheetData>
  <dataConsolidate/>
  <conditionalFormatting sqref="E23:E26">
    <cfRule type="cellIs" dxfId="5" priority="1" operator="equal">
      <formula>"Y"</formula>
    </cfRule>
  </conditionalFormatting>
  <conditionalFormatting sqref="E28:F29">
    <cfRule type="cellIs" dxfId="4" priority="6" operator="equal">
      <formula>"Y"</formula>
    </cfRule>
  </conditionalFormatting>
  <conditionalFormatting sqref="E2:J18 K6:K11 E19:F20 E19:E21 H19:J25 G19:G37 E22:F22">
    <cfRule type="cellIs" dxfId="3" priority="8" operator="equal">
      <formula>"Y"</formula>
    </cfRule>
  </conditionalFormatting>
  <conditionalFormatting sqref="F21">
    <cfRule type="cellIs" dxfId="2" priority="3" operator="equal">
      <formula>"Y"</formula>
    </cfRule>
  </conditionalFormatting>
  <conditionalFormatting sqref="F23:F25">
    <cfRule type="cellIs" dxfId="1" priority="2" operator="equal">
      <formula>"Y"</formula>
    </cfRule>
  </conditionalFormatting>
  <conditionalFormatting sqref="J30:J31">
    <cfRule type="cellIs" dxfId="0" priority="5" operator="equal">
      <formula>"Y"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19</v>
      </c>
    </row>
    <row r="2" spans="1:1" x14ac:dyDescent="0.25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 Level Readings</vt:lpstr>
      <vt:lpstr>Events</vt:lpstr>
      <vt:lpstr>Event 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2025-10-16T13:34:26Z</dcterms:modified>
</cp:coreProperties>
</file>